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nitaK\sem4\ml\ml_project\"/>
    </mc:Choice>
  </mc:AlternateContent>
  <xr:revisionPtr revIDLastSave="0" documentId="13_ncr:1_{A3C89EF9-A53B-408A-86F4-8C5AC229858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retrain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  <c r="N2" i="1"/>
  <c r="M8" i="1"/>
  <c r="M7" i="1"/>
  <c r="M6" i="1"/>
  <c r="M5" i="1"/>
  <c r="M4" i="1"/>
  <c r="M3" i="1"/>
  <c r="M2" i="1"/>
  <c r="T8" i="1"/>
  <c r="T7" i="1"/>
  <c r="T6" i="1"/>
  <c r="T5" i="1"/>
  <c r="T4" i="1"/>
  <c r="T3" i="1"/>
  <c r="T2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<sst xmlns="http://schemas.openxmlformats.org/spreadsheetml/2006/main" count="118" uniqueCount="23">
  <si>
    <t>Train</t>
  </si>
  <si>
    <t>Test</t>
  </si>
  <si>
    <t>Accuracy</t>
  </si>
  <si>
    <t>F1 Score</t>
  </si>
  <si>
    <t>Model</t>
  </si>
  <si>
    <t>Embedding</t>
  </si>
  <si>
    <t>KNN</t>
  </si>
  <si>
    <t>TF-IDF</t>
  </si>
  <si>
    <t>Decision Tree</t>
  </si>
  <si>
    <t>Logistic Regression</t>
  </si>
  <si>
    <t>SVM</t>
  </si>
  <si>
    <t>XGBoost</t>
  </si>
  <si>
    <t>CatBoost</t>
  </si>
  <si>
    <t>LightGBM</t>
  </si>
  <si>
    <t>Word2Vec</t>
  </si>
  <si>
    <t>SBERT</t>
  </si>
  <si>
    <t>BERT</t>
  </si>
  <si>
    <t>T5</t>
  </si>
  <si>
    <t>XLM</t>
  </si>
  <si>
    <t>UniXcoder</t>
  </si>
  <si>
    <t>Mean</t>
  </si>
  <si>
    <t>Std 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</si>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</sst>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'Pretrained Results'!$L$1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'Pretrained Results'!$M$2:$M$8</c:f>
                <c:numCache>
                  <c:formatCode>General</c:formatCode>
                  <c:ptCount val="7"/>
                  <c:pt idx="0">
                    <c:v>2.904892424858449E-2</c:v>
                  </c:pt>
                  <c:pt idx="1">
                    <c:v>5.4037141421999974E-2</c:v>
                  </c:pt>
                  <c:pt idx="2">
                    <c:v>7.2566470584294121E-2</c:v>
                  </c:pt>
                  <c:pt idx="3">
                    <c:v>5.1752444485300246E-2</c:v>
                  </c:pt>
                  <c:pt idx="4">
                    <c:v>3.4069191301208883E-2</c:v>
                  </c:pt>
                  <c:pt idx="5">
                    <c:v>6.2004670660148434E-2</c:v>
                  </c:pt>
                  <c:pt idx="6">
                    <c:v>6.2029551877491824E-2</c:v>
                  </c:pt>
                </c:numCache>
              </c:numRef>
            </c:plus>
            <c:minus>
              <c:numRef>
                <c:f>'Pretrained Results'!$M$2:$M$8</c:f>
                <c:numCache>
                  <c:formatCode>General</c:formatCode>
                  <c:ptCount val="7"/>
                  <c:pt idx="0">
                    <c:v>2.904892424858449E-2</c:v>
                  </c:pt>
                  <c:pt idx="1">
                    <c:v>5.4037141421999974E-2</c:v>
                  </c:pt>
                  <c:pt idx="2">
                    <c:v>7.2566470584294121E-2</c:v>
                  </c:pt>
                  <c:pt idx="3">
                    <c:v>5.1752444485300246E-2</c:v>
                  </c:pt>
                  <c:pt idx="4">
                    <c:v>3.4069191301208883E-2</c:v>
                  </c:pt>
                  <c:pt idx="5">
                    <c:v>6.2004670660148434E-2</c:v>
                  </c:pt>
                  <c:pt idx="6">
                    <c:v>6.2029551877491824E-2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'Pretrained Results'!$K$2:$K$8</c:f>
              <c:strCache>
                <c:ptCount val="7"/>
                <c:pt idx="0">
                  <c:v>TF-IDF</c:v>
                </c:pt>
                <c:pt idx="1">
                  <c:v>Word2Vec</c:v>
                </c:pt>
                <c:pt idx="2">
                  <c:v>SBERT</c:v>
                </c:pt>
                <c:pt idx="3">
                  <c:v>BERT</c:v>
                </c:pt>
                <c:pt idx="4">
                  <c:v>T5</c:v>
                </c:pt>
                <c:pt idx="5">
                  <c:v>XLM</c:v>
                </c:pt>
                <c:pt idx="6">
                  <c:v>UniXcoder</c:v>
                </c:pt>
              </c:strCache>
            </c:strRef>
          </c:cat>
          <c:val>
            <c:numRef>
              <c:f>'Pretrained Results'!$L$2:$L$8</c:f>
              <c:numCache>
                <c:formatCode>General</c:formatCode>
                <c:ptCount val="7"/>
                <c:pt idx="0">
                  <c:v>0.68969999999999998</c:v>
                </c:pt>
                <c:pt idx="1">
                  <c:v>0.6950857142857142</c:v>
                </c:pt>
                <c:pt idx="2">
                  <c:v>0.88838571428571445</c:v>
                </c:pt>
                <c:pt idx="3">
                  <c:v>0.90878571428571442</c:v>
                </c:pt>
                <c:pt idx="4">
                  <c:v>0.92678571428571443</c:v>
                </c:pt>
                <c:pt idx="5">
                  <c:v>0.87637142857142869</c:v>
                </c:pt>
                <c:pt idx="6">
                  <c:v>0.84334285714285706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2-4BD1-BDDE-B820CF9752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369935"/>
        <c:axId val="91358895"/>
      </c:barChart>
      <c:catAx>
        <c:axId val="913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8895"/>
        <c:crosses val="autoZero"/>
        <c:auto val="1"/>
        <c:lblAlgn val="ctr"/>
        <c:lblOffset val="100"/>
        <c:noMultiLvlLbl val="0"/>
      </c:catAx>
      <c:valAx>
        <c:axId val="913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175260</xdr:rowOff>
    </xdr:from>
    <xdr:to>
      <xdr:col>17</xdr:col>
      <xdr:colOff>320040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36101-8CDC-08DA-D820-5CA2BE586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>
      <selection activeCell="I5" sqref="I5"/>
    </sheetView>
  </sheetViews>
  <sheetFormatPr defaultRowHeight="14.4" x14ac:dyDescent="0.3"/>
  <cols>
    <col min="11" max="11" width="12" customWidth="1"/>
  </cols>
  <sheetData>
    <row r="1" spans="1:20" x14ac:dyDescent="0.3">
      <c r="B1" s="1"/>
      <c r="C1" s="2" t="s">
        <v>0</v>
      </c>
      <c r="D1" s="2"/>
      <c r="E1" s="2" t="s">
        <v>1</v>
      </c>
      <c r="F1" s="2"/>
      <c r="K1" t="s">
        <v>5</v>
      </c>
      <c r="L1" t="s">
        <v>20</v>
      </c>
      <c r="M1" t="s">
        <v>21</v>
      </c>
      <c r="N1" t="s">
        <v>22</v>
      </c>
      <c r="T1" t="s">
        <v>21</v>
      </c>
    </row>
    <row r="2" spans="1:20" x14ac:dyDescent="0.3">
      <c r="B2" s="1"/>
      <c r="C2" s="1" t="s">
        <v>2</v>
      </c>
      <c r="D2" s="1" t="s">
        <v>3</v>
      </c>
      <c r="E2" s="1" t="s">
        <v>2</v>
      </c>
      <c r="F2" s="1" t="s">
        <v>3</v>
      </c>
      <c r="K2" t="s">
        <v>7</v>
      </c>
      <c r="L2">
        <f>AVERAGE(E4:E10)</f>
        <v>0.68969999999999998</v>
      </c>
      <c r="M2">
        <f>_xlfn.STDEV.P(E4:E10)</f>
        <v>2.904892424858449E-2</v>
      </c>
      <c r="N2">
        <f>_xlfn.VAR.P(F4:F10)</f>
        <v>2.1650571428571417E-3</v>
      </c>
      <c r="T2">
        <f>_xlfn.STDEV.P(F4:F10)</f>
        <v>4.6530174541442905E-2</v>
      </c>
    </row>
    <row r="3" spans="1:20" x14ac:dyDescent="0.3">
      <c r="A3" s="1" t="s">
        <v>4</v>
      </c>
      <c r="B3" s="1" t="s">
        <v>5</v>
      </c>
      <c r="K3" t="s">
        <v>14</v>
      </c>
      <c r="L3">
        <f>AVERAGE(E11:E17)</f>
        <v>0.6950857142857142</v>
      </c>
      <c r="M3">
        <f>_xlfn.STDEV.P(E11:E17)</f>
        <v>5.4037141421999974E-2</v>
      </c>
      <c r="N3">
        <f>_xlfn.VAR.P(F11:F17)</f>
        <v>2.905546938775508E-3</v>
      </c>
      <c r="T3">
        <f>_xlfn.STDEV.P(F11:F17)</f>
        <v>5.3903125500990273E-2</v>
      </c>
    </row>
    <row r="4" spans="1:20" x14ac:dyDescent="0.3">
      <c r="A4" s="1" t="s">
        <v>6</v>
      </c>
      <c r="B4" s="1" t="s">
        <v>7</v>
      </c>
      <c r="C4">
        <v>0.77029999999999998</v>
      </c>
      <c r="D4">
        <v>0.76729999999999998</v>
      </c>
      <c r="E4">
        <v>0.68910000000000005</v>
      </c>
      <c r="F4">
        <v>0.68410000000000004</v>
      </c>
      <c r="K4" t="s">
        <v>15</v>
      </c>
      <c r="L4">
        <f>AVERAGE(E18:E24)</f>
        <v>0.88838571428571445</v>
      </c>
      <c r="M4">
        <f>_xlfn.STDEV.P(E18:E24)</f>
        <v>7.2566470584294121E-2</v>
      </c>
      <c r="N4">
        <f>_xlfn.VAR.P(F18:F24)</f>
        <v>5.2627277551020408E-3</v>
      </c>
      <c r="T4">
        <f>_xlfn.STDEV.P(F18:F24)</f>
        <v>7.2544660417580287E-2</v>
      </c>
    </row>
    <row r="5" spans="1:20" x14ac:dyDescent="0.3">
      <c r="A5" s="1" t="s">
        <v>8</v>
      </c>
      <c r="B5" s="1" t="s">
        <v>7</v>
      </c>
      <c r="C5">
        <v>0.68069999999999997</v>
      </c>
      <c r="D5">
        <v>0.63739999999999997</v>
      </c>
      <c r="E5">
        <v>0.65549999999999997</v>
      </c>
      <c r="F5">
        <v>0.61160000000000003</v>
      </c>
      <c r="K5" t="s">
        <v>16</v>
      </c>
      <c r="L5">
        <f>AVERAGE(E25:E31)</f>
        <v>0.90878571428571442</v>
      </c>
      <c r="M5">
        <f>_xlfn.STDEV.P(E25:E31)</f>
        <v>5.1752444485300246E-2</v>
      </c>
      <c r="N5">
        <f>_xlfn.VAR.P(F25:F31)</f>
        <v>2.6867995918367351E-3</v>
      </c>
      <c r="T5">
        <f>_xlfn.STDEV.P(F25:F31)</f>
        <v>5.1834347606936608E-2</v>
      </c>
    </row>
    <row r="6" spans="1:20" x14ac:dyDescent="0.3">
      <c r="A6" s="1" t="s">
        <v>9</v>
      </c>
      <c r="B6" s="1" t="s">
        <v>7</v>
      </c>
      <c r="C6">
        <v>0.76400000000000001</v>
      </c>
      <c r="D6">
        <v>0.76070000000000004</v>
      </c>
      <c r="E6">
        <v>0.71850000000000003</v>
      </c>
      <c r="F6">
        <v>0.71299999999999997</v>
      </c>
      <c r="K6" t="s">
        <v>17</v>
      </c>
      <c r="L6">
        <f>AVERAGE(E32:E38)</f>
        <v>0.92678571428571443</v>
      </c>
      <c r="M6">
        <f>_xlfn.STDEV.P(E32:E38)</f>
        <v>3.4069191301208883E-2</v>
      </c>
      <c r="N6">
        <f>_xlfn.VAR.P(F32:F38)</f>
        <v>1.1592367346938775E-3</v>
      </c>
      <c r="T6">
        <f>_xlfn.STDEV.P(F32:F38)</f>
        <v>3.4047565767524081E-2</v>
      </c>
    </row>
    <row r="7" spans="1:20" x14ac:dyDescent="0.3">
      <c r="A7" s="1" t="s">
        <v>10</v>
      </c>
      <c r="B7" s="1" t="s">
        <v>7</v>
      </c>
      <c r="C7">
        <v>0.77239999999999998</v>
      </c>
      <c r="D7">
        <v>0.76980000000000004</v>
      </c>
      <c r="E7">
        <v>0.71009999999999995</v>
      </c>
      <c r="F7">
        <v>0.70509999999999995</v>
      </c>
      <c r="K7" t="s">
        <v>18</v>
      </c>
      <c r="L7">
        <f>AVERAGE(E39:E45)</f>
        <v>0.87637142857142869</v>
      </c>
      <c r="M7">
        <f>_xlfn.STDEV.P(E39:E45)</f>
        <v>6.2004670660148434E-2</v>
      </c>
      <c r="N7">
        <f>_xlfn.VAR.P(F39:F45)</f>
        <v>3.9827253061224472E-3</v>
      </c>
      <c r="T7">
        <f>_xlfn.STDEV.P(F39:F45)</f>
        <v>6.3108836989144768E-2</v>
      </c>
    </row>
    <row r="8" spans="1:20" x14ac:dyDescent="0.3">
      <c r="A8" s="1" t="s">
        <v>11</v>
      </c>
      <c r="B8" s="1" t="s">
        <v>7</v>
      </c>
      <c r="C8">
        <v>0.64490000000000003</v>
      </c>
      <c r="D8">
        <v>0.59330000000000005</v>
      </c>
      <c r="E8">
        <v>0.63870000000000005</v>
      </c>
      <c r="F8">
        <v>0.59</v>
      </c>
      <c r="K8" t="s">
        <v>19</v>
      </c>
      <c r="L8">
        <f>AVERAGE(E46:E52)</f>
        <v>0.84334285714285706</v>
      </c>
      <c r="M8">
        <f>_xlfn.STDEV.P(E46:E52)</f>
        <v>6.2029551877491824E-2</v>
      </c>
      <c r="N8">
        <f>_xlfn.VAR.P(F46:F52)</f>
        <v>3.8847053061224499E-3</v>
      </c>
      <c r="T8">
        <f>_xlfn.STDEV.P(F46:F52)</f>
        <v>6.232740413431679E-2</v>
      </c>
    </row>
    <row r="9" spans="1:20" x14ac:dyDescent="0.3">
      <c r="A9" s="1" t="s">
        <v>12</v>
      </c>
      <c r="B9" s="1" t="s">
        <v>7</v>
      </c>
      <c r="C9">
        <v>0.79869999999999997</v>
      </c>
      <c r="D9">
        <v>0.79669999999999996</v>
      </c>
      <c r="E9">
        <v>0.71850000000000003</v>
      </c>
      <c r="F9">
        <v>0.71419999999999995</v>
      </c>
    </row>
    <row r="10" spans="1:20" x14ac:dyDescent="0.3">
      <c r="A10" s="1" t="s">
        <v>13</v>
      </c>
      <c r="B10" s="1" t="s">
        <v>7</v>
      </c>
      <c r="C10">
        <v>0.70599999999999996</v>
      </c>
      <c r="D10">
        <v>0.68959999999999999</v>
      </c>
      <c r="E10">
        <v>0.69750000000000001</v>
      </c>
      <c r="F10">
        <v>0.68110000000000004</v>
      </c>
    </row>
    <row r="11" spans="1:20" x14ac:dyDescent="0.3">
      <c r="A11" s="1" t="s">
        <v>6</v>
      </c>
      <c r="B11" s="1" t="s">
        <v>14</v>
      </c>
      <c r="C11">
        <v>1</v>
      </c>
      <c r="D11">
        <v>1</v>
      </c>
      <c r="E11">
        <v>0.65969999999999995</v>
      </c>
      <c r="F11">
        <v>0.65790000000000004</v>
      </c>
    </row>
    <row r="12" spans="1:20" x14ac:dyDescent="0.3">
      <c r="A12" s="1" t="s">
        <v>8</v>
      </c>
      <c r="B12" s="1" t="s">
        <v>14</v>
      </c>
      <c r="C12">
        <v>1</v>
      </c>
      <c r="D12">
        <v>1</v>
      </c>
      <c r="E12">
        <v>0.60499999999999998</v>
      </c>
      <c r="F12">
        <v>0.60460000000000003</v>
      </c>
    </row>
    <row r="13" spans="1:20" x14ac:dyDescent="0.3">
      <c r="A13" s="1" t="s">
        <v>9</v>
      </c>
      <c r="B13" s="1" t="s">
        <v>14</v>
      </c>
      <c r="C13">
        <v>0.75970000000000004</v>
      </c>
      <c r="D13">
        <v>0.75970000000000004</v>
      </c>
      <c r="E13">
        <v>0.71430000000000005</v>
      </c>
      <c r="F13">
        <v>0.71030000000000004</v>
      </c>
    </row>
    <row r="14" spans="1:20" x14ac:dyDescent="0.3">
      <c r="A14" s="1" t="s">
        <v>10</v>
      </c>
      <c r="B14" s="1" t="s">
        <v>14</v>
      </c>
      <c r="C14">
        <v>0.84299999999999997</v>
      </c>
      <c r="D14">
        <v>0.84299999999999997</v>
      </c>
      <c r="E14">
        <v>0.79830000000000001</v>
      </c>
      <c r="F14">
        <v>0.79759999999999998</v>
      </c>
    </row>
    <row r="15" spans="1:20" x14ac:dyDescent="0.3">
      <c r="A15" s="1" t="s">
        <v>11</v>
      </c>
      <c r="B15" s="1" t="s">
        <v>14</v>
      </c>
      <c r="C15">
        <v>0.99790000000000001</v>
      </c>
      <c r="D15">
        <v>0.99790000000000001</v>
      </c>
      <c r="E15">
        <v>0.69330000000000003</v>
      </c>
      <c r="F15">
        <v>0.69320000000000004</v>
      </c>
    </row>
    <row r="16" spans="1:20" x14ac:dyDescent="0.3">
      <c r="A16" s="1" t="s">
        <v>12</v>
      </c>
      <c r="B16" s="1" t="s">
        <v>14</v>
      </c>
      <c r="C16">
        <v>0.97789999999999999</v>
      </c>
      <c r="D16">
        <v>0.9778</v>
      </c>
      <c r="E16">
        <v>0.70169999999999999</v>
      </c>
      <c r="F16">
        <v>0.70050000000000001</v>
      </c>
    </row>
    <row r="17" spans="1:6" x14ac:dyDescent="0.3">
      <c r="A17" s="1" t="s">
        <v>13</v>
      </c>
      <c r="B17" s="1" t="s">
        <v>14</v>
      </c>
      <c r="C17">
        <v>1</v>
      </c>
      <c r="D17">
        <v>1</v>
      </c>
      <c r="E17">
        <v>0.69330000000000003</v>
      </c>
      <c r="F17">
        <v>0.69259999999999999</v>
      </c>
    </row>
    <row r="18" spans="1:6" x14ac:dyDescent="0.3">
      <c r="A18" s="1" t="s">
        <v>6</v>
      </c>
      <c r="B18" s="1" t="s">
        <v>15</v>
      </c>
      <c r="C18">
        <v>1</v>
      </c>
      <c r="D18">
        <v>1</v>
      </c>
      <c r="E18">
        <v>0.8992</v>
      </c>
      <c r="F18">
        <v>0.8992</v>
      </c>
    </row>
    <row r="19" spans="1:6" x14ac:dyDescent="0.3">
      <c r="A19" s="1" t="s">
        <v>8</v>
      </c>
      <c r="B19" s="1" t="s">
        <v>15</v>
      </c>
      <c r="C19">
        <v>0.99890000000000001</v>
      </c>
      <c r="D19">
        <v>0.99890000000000001</v>
      </c>
      <c r="E19">
        <v>0.71850000000000003</v>
      </c>
      <c r="F19">
        <v>0.71850000000000003</v>
      </c>
    </row>
    <row r="20" spans="1:6" x14ac:dyDescent="0.3">
      <c r="A20" s="1" t="s">
        <v>9</v>
      </c>
      <c r="B20" s="1" t="s">
        <v>15</v>
      </c>
      <c r="C20">
        <v>0.94099999999999995</v>
      </c>
      <c r="D20">
        <v>0.94089999999999996</v>
      </c>
      <c r="E20">
        <v>0.94120000000000004</v>
      </c>
      <c r="F20">
        <v>0.94110000000000005</v>
      </c>
    </row>
    <row r="21" spans="1:6" x14ac:dyDescent="0.3">
      <c r="A21" s="1" t="s">
        <v>10</v>
      </c>
      <c r="B21" s="1" t="s">
        <v>15</v>
      </c>
      <c r="C21">
        <v>1</v>
      </c>
      <c r="D21">
        <v>1</v>
      </c>
      <c r="E21">
        <v>0.9496</v>
      </c>
      <c r="F21">
        <v>0.94950000000000001</v>
      </c>
    </row>
    <row r="22" spans="1:6" x14ac:dyDescent="0.3">
      <c r="A22" s="1" t="s">
        <v>11</v>
      </c>
      <c r="B22" s="1" t="s">
        <v>15</v>
      </c>
      <c r="C22">
        <v>0.99680000000000002</v>
      </c>
      <c r="D22">
        <v>0.99680000000000002</v>
      </c>
      <c r="E22">
        <v>0.88239999999999996</v>
      </c>
      <c r="F22">
        <v>0.88190000000000002</v>
      </c>
    </row>
    <row r="23" spans="1:6" x14ac:dyDescent="0.3">
      <c r="A23" s="1" t="s">
        <v>12</v>
      </c>
      <c r="B23" s="1" t="s">
        <v>15</v>
      </c>
      <c r="C23">
        <v>1</v>
      </c>
      <c r="D23">
        <v>1</v>
      </c>
      <c r="E23">
        <v>0.91600000000000004</v>
      </c>
      <c r="F23">
        <v>0.91590000000000005</v>
      </c>
    </row>
    <row r="24" spans="1:6" x14ac:dyDescent="0.3">
      <c r="A24" s="1" t="s">
        <v>13</v>
      </c>
      <c r="B24" s="1" t="s">
        <v>15</v>
      </c>
      <c r="C24">
        <v>0.99260000000000004</v>
      </c>
      <c r="D24">
        <v>0.99260000000000004</v>
      </c>
      <c r="E24">
        <v>0.91180000000000005</v>
      </c>
      <c r="F24">
        <v>0.91180000000000005</v>
      </c>
    </row>
    <row r="25" spans="1:6" x14ac:dyDescent="0.3">
      <c r="A25" s="1" t="s">
        <v>6</v>
      </c>
      <c r="B25" s="1" t="s">
        <v>16</v>
      </c>
      <c r="C25">
        <v>1</v>
      </c>
      <c r="D25">
        <v>1</v>
      </c>
      <c r="E25">
        <v>0.91180000000000005</v>
      </c>
      <c r="F25">
        <v>0.91159999999999997</v>
      </c>
    </row>
    <row r="26" spans="1:6" x14ac:dyDescent="0.3">
      <c r="A26" s="1" t="s">
        <v>8</v>
      </c>
      <c r="B26" s="1" t="s">
        <v>16</v>
      </c>
      <c r="C26">
        <v>0.93889999999999996</v>
      </c>
      <c r="D26">
        <v>0.93879999999999997</v>
      </c>
      <c r="E26">
        <v>0.78569999999999995</v>
      </c>
      <c r="F26">
        <v>0.78539999999999999</v>
      </c>
    </row>
    <row r="27" spans="1:6" x14ac:dyDescent="0.3">
      <c r="A27" s="1" t="s">
        <v>9</v>
      </c>
      <c r="B27" s="1" t="s">
        <v>16</v>
      </c>
      <c r="C27">
        <v>1</v>
      </c>
      <c r="D27">
        <v>1</v>
      </c>
      <c r="E27">
        <v>0.93700000000000006</v>
      </c>
      <c r="F27">
        <v>0.93689999999999996</v>
      </c>
    </row>
    <row r="28" spans="1:6" x14ac:dyDescent="0.3">
      <c r="A28" s="1" t="s">
        <v>10</v>
      </c>
      <c r="B28" s="1" t="s">
        <v>16</v>
      </c>
      <c r="C28">
        <v>0.99470000000000003</v>
      </c>
      <c r="D28">
        <v>0.99470000000000003</v>
      </c>
      <c r="E28">
        <v>0.94540000000000002</v>
      </c>
      <c r="F28">
        <v>0.94540000000000002</v>
      </c>
    </row>
    <row r="29" spans="1:6" x14ac:dyDescent="0.3">
      <c r="A29" s="1" t="s">
        <v>11</v>
      </c>
      <c r="B29" s="1" t="s">
        <v>16</v>
      </c>
      <c r="C29">
        <v>1</v>
      </c>
      <c r="D29">
        <v>1</v>
      </c>
      <c r="E29">
        <v>0.92859999999999998</v>
      </c>
      <c r="F29">
        <v>0.92859999999999998</v>
      </c>
    </row>
    <row r="30" spans="1:6" x14ac:dyDescent="0.3">
      <c r="A30" s="1" t="s">
        <v>12</v>
      </c>
      <c r="B30" s="1" t="s">
        <v>16</v>
      </c>
      <c r="C30">
        <v>1</v>
      </c>
      <c r="D30">
        <v>1</v>
      </c>
      <c r="E30">
        <v>0.91180000000000005</v>
      </c>
      <c r="F30">
        <v>0.91159999999999997</v>
      </c>
    </row>
    <row r="31" spans="1:6" x14ac:dyDescent="0.3">
      <c r="A31" s="1" t="s">
        <v>13</v>
      </c>
      <c r="B31" s="1" t="s">
        <v>16</v>
      </c>
      <c r="C31">
        <v>1</v>
      </c>
      <c r="D31">
        <v>1</v>
      </c>
      <c r="E31">
        <v>0.94120000000000004</v>
      </c>
      <c r="F31">
        <v>0.94110000000000005</v>
      </c>
    </row>
    <row r="32" spans="1:6" x14ac:dyDescent="0.3">
      <c r="A32" s="1" t="s">
        <v>6</v>
      </c>
      <c r="B32" s="1" t="s">
        <v>17</v>
      </c>
      <c r="C32">
        <v>1</v>
      </c>
      <c r="D32">
        <v>1</v>
      </c>
      <c r="E32">
        <v>0.91600000000000004</v>
      </c>
      <c r="F32">
        <v>0.91600000000000004</v>
      </c>
    </row>
    <row r="33" spans="1:6" x14ac:dyDescent="0.3">
      <c r="A33" s="1" t="s">
        <v>8</v>
      </c>
      <c r="B33" s="1" t="s">
        <v>17</v>
      </c>
      <c r="C33">
        <v>0.93889999999999996</v>
      </c>
      <c r="D33">
        <v>0.93879999999999997</v>
      </c>
      <c r="E33">
        <v>0.84870000000000001</v>
      </c>
      <c r="F33">
        <v>0.84870000000000001</v>
      </c>
    </row>
    <row r="34" spans="1:6" x14ac:dyDescent="0.3">
      <c r="A34" s="1" t="s">
        <v>9</v>
      </c>
      <c r="B34" s="1" t="s">
        <v>17</v>
      </c>
      <c r="C34">
        <v>0.98950000000000005</v>
      </c>
      <c r="D34">
        <v>0.98939999999999995</v>
      </c>
      <c r="E34">
        <v>0.94540000000000002</v>
      </c>
      <c r="F34">
        <v>0.94530000000000003</v>
      </c>
    </row>
    <row r="35" spans="1:6" x14ac:dyDescent="0.3">
      <c r="A35" s="1" t="s">
        <v>10</v>
      </c>
      <c r="B35" s="1" t="s">
        <v>17</v>
      </c>
      <c r="C35">
        <v>1</v>
      </c>
      <c r="D35">
        <v>1</v>
      </c>
      <c r="E35">
        <v>0.95799999999999996</v>
      </c>
      <c r="F35">
        <v>0.95799999999999996</v>
      </c>
    </row>
    <row r="36" spans="1:6" x14ac:dyDescent="0.3">
      <c r="A36" s="1" t="s">
        <v>11</v>
      </c>
      <c r="B36" s="1" t="s">
        <v>17</v>
      </c>
      <c r="C36">
        <v>1</v>
      </c>
      <c r="D36">
        <v>1</v>
      </c>
      <c r="E36">
        <v>0.93279999999999996</v>
      </c>
      <c r="F36">
        <v>0.93279999999999996</v>
      </c>
    </row>
    <row r="37" spans="1:6" x14ac:dyDescent="0.3">
      <c r="A37" s="1" t="s">
        <v>12</v>
      </c>
      <c r="B37" s="1" t="s">
        <v>17</v>
      </c>
      <c r="C37">
        <v>1</v>
      </c>
      <c r="D37">
        <v>1</v>
      </c>
      <c r="E37">
        <v>0.94120000000000004</v>
      </c>
      <c r="F37">
        <v>0.94110000000000005</v>
      </c>
    </row>
    <row r="38" spans="1:6" x14ac:dyDescent="0.3">
      <c r="A38" s="1" t="s">
        <v>13</v>
      </c>
      <c r="B38" s="1" t="s">
        <v>17</v>
      </c>
      <c r="C38">
        <v>1</v>
      </c>
      <c r="D38">
        <v>1</v>
      </c>
      <c r="E38">
        <v>0.94540000000000002</v>
      </c>
      <c r="F38">
        <v>0.94530000000000003</v>
      </c>
    </row>
    <row r="39" spans="1:6" x14ac:dyDescent="0.3">
      <c r="A39" s="1" t="s">
        <v>6</v>
      </c>
      <c r="B39" s="1" t="s">
        <v>18</v>
      </c>
      <c r="C39">
        <v>0.91990000000000005</v>
      </c>
      <c r="D39">
        <v>0.91930000000000001</v>
      </c>
      <c r="E39">
        <v>0.84870000000000001</v>
      </c>
      <c r="F39">
        <v>0.84809999999999997</v>
      </c>
    </row>
    <row r="40" spans="1:6" x14ac:dyDescent="0.3">
      <c r="A40" s="1" t="s">
        <v>8</v>
      </c>
      <c r="B40" s="1" t="s">
        <v>18</v>
      </c>
      <c r="C40">
        <v>0.85880000000000001</v>
      </c>
      <c r="D40">
        <v>0.8579</v>
      </c>
      <c r="E40">
        <v>0.73529999999999995</v>
      </c>
      <c r="F40">
        <v>0.73180000000000001</v>
      </c>
    </row>
    <row r="41" spans="1:6" x14ac:dyDescent="0.3">
      <c r="A41" s="1" t="s">
        <v>9</v>
      </c>
      <c r="B41" s="1" t="s">
        <v>18</v>
      </c>
      <c r="C41">
        <v>0.98740000000000006</v>
      </c>
      <c r="D41">
        <v>0.98729999999999996</v>
      </c>
      <c r="E41">
        <v>0.92020000000000002</v>
      </c>
      <c r="F41">
        <v>0.92</v>
      </c>
    </row>
    <row r="42" spans="1:6" x14ac:dyDescent="0.3">
      <c r="A42" s="1" t="s">
        <v>10</v>
      </c>
      <c r="B42" s="1" t="s">
        <v>18</v>
      </c>
      <c r="C42">
        <v>0.98419999999999996</v>
      </c>
      <c r="D42">
        <v>0.98419999999999996</v>
      </c>
      <c r="E42">
        <v>0.91600000000000004</v>
      </c>
      <c r="F42">
        <v>0.91569999999999996</v>
      </c>
    </row>
    <row r="43" spans="1:6" x14ac:dyDescent="0.3">
      <c r="A43" s="1" t="s">
        <v>11</v>
      </c>
      <c r="B43" s="1" t="s">
        <v>18</v>
      </c>
      <c r="C43">
        <v>1</v>
      </c>
      <c r="D43">
        <v>1</v>
      </c>
      <c r="E43">
        <v>0.90759999999999996</v>
      </c>
      <c r="F43">
        <v>0.90759999999999996</v>
      </c>
    </row>
    <row r="44" spans="1:6" x14ac:dyDescent="0.3">
      <c r="A44" s="1" t="s">
        <v>12</v>
      </c>
      <c r="B44" s="1" t="s">
        <v>18</v>
      </c>
      <c r="C44">
        <v>1</v>
      </c>
      <c r="D44">
        <v>1</v>
      </c>
      <c r="E44">
        <v>0.89080000000000004</v>
      </c>
      <c r="F44">
        <v>0.89059999999999995</v>
      </c>
    </row>
    <row r="45" spans="1:6" x14ac:dyDescent="0.3">
      <c r="A45" s="1" t="s">
        <v>13</v>
      </c>
      <c r="B45" s="1" t="s">
        <v>18</v>
      </c>
      <c r="C45">
        <v>1</v>
      </c>
      <c r="D45">
        <v>1</v>
      </c>
      <c r="E45">
        <v>0.91600000000000004</v>
      </c>
      <c r="F45">
        <v>0.91579999999999995</v>
      </c>
    </row>
    <row r="46" spans="1:6" x14ac:dyDescent="0.3">
      <c r="A46" s="1" t="s">
        <v>6</v>
      </c>
      <c r="B46" s="1" t="s">
        <v>19</v>
      </c>
      <c r="C46">
        <v>0.92310000000000003</v>
      </c>
      <c r="D46">
        <v>0.9224</v>
      </c>
      <c r="E46">
        <v>0.81930000000000003</v>
      </c>
      <c r="F46">
        <v>0.81659999999999999</v>
      </c>
    </row>
    <row r="47" spans="1:6" x14ac:dyDescent="0.3">
      <c r="A47" s="1" t="s">
        <v>8</v>
      </c>
      <c r="B47" s="1" t="s">
        <v>19</v>
      </c>
      <c r="C47">
        <v>0.88090000000000002</v>
      </c>
      <c r="D47">
        <v>0.88009999999999999</v>
      </c>
      <c r="E47">
        <v>0.70169999999999999</v>
      </c>
      <c r="F47">
        <v>0.70079999999999998</v>
      </c>
    </row>
    <row r="48" spans="1:6" x14ac:dyDescent="0.3">
      <c r="A48" s="1" t="s">
        <v>9</v>
      </c>
      <c r="B48" s="1" t="s">
        <v>19</v>
      </c>
      <c r="C48">
        <v>0.97789999999999999</v>
      </c>
      <c r="D48">
        <v>0.97789999999999999</v>
      </c>
      <c r="E48">
        <v>0.88239999999999996</v>
      </c>
      <c r="F48">
        <v>0.8821</v>
      </c>
    </row>
    <row r="49" spans="1:6" x14ac:dyDescent="0.3">
      <c r="A49" s="1" t="s">
        <v>10</v>
      </c>
      <c r="B49" s="1" t="s">
        <v>19</v>
      </c>
      <c r="C49">
        <v>0.99890000000000001</v>
      </c>
      <c r="D49">
        <v>0.99890000000000001</v>
      </c>
      <c r="E49">
        <v>0.89500000000000002</v>
      </c>
      <c r="F49">
        <v>0.89449999999999996</v>
      </c>
    </row>
    <row r="50" spans="1:6" x14ac:dyDescent="0.3">
      <c r="A50" s="1" t="s">
        <v>11</v>
      </c>
      <c r="B50" s="1" t="s">
        <v>19</v>
      </c>
      <c r="C50">
        <v>1</v>
      </c>
      <c r="D50">
        <v>1</v>
      </c>
      <c r="E50">
        <v>0.86970000000000003</v>
      </c>
      <c r="F50">
        <v>0.86950000000000005</v>
      </c>
    </row>
    <row r="51" spans="1:6" x14ac:dyDescent="0.3">
      <c r="A51" s="1" t="s">
        <v>12</v>
      </c>
      <c r="B51" s="1" t="s">
        <v>19</v>
      </c>
      <c r="C51">
        <v>1</v>
      </c>
      <c r="D51">
        <v>1</v>
      </c>
      <c r="E51">
        <v>0.85709999999999997</v>
      </c>
      <c r="F51">
        <v>0.85650000000000004</v>
      </c>
    </row>
    <row r="52" spans="1:6" x14ac:dyDescent="0.3">
      <c r="A52" s="1" t="s">
        <v>13</v>
      </c>
      <c r="B52" s="1" t="s">
        <v>19</v>
      </c>
      <c r="C52">
        <v>1</v>
      </c>
      <c r="D52">
        <v>1</v>
      </c>
      <c r="E52">
        <v>0.87819999999999998</v>
      </c>
      <c r="F52">
        <v>0.87780000000000002</v>
      </c>
    </row>
  </sheetData>
  <mergeCells count="2">
    <mergeCell ref="C1:D1"/>
    <mergeCell ref="E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Pretrained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Navnita Krishnan</cp:lastModifiedBy>
  <dcterms:created xsi:type="dcterms:W3CDTF">2026-04-26T13:12:23Z</dcterms:created>
  <dcterms:modified xsi:type="dcterms:W3CDTF">2026-05-10T16:57:22Z</dcterms:modified>
</cp:coreProperties>
</file>