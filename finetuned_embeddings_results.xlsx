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avnitaK\sem4\ml\ml_project\"/>
    </mc:Choice>
  </mc:AlternateContent>
  <xr:revisionPtr revIDLastSave="0" documentId="13_ncr:1_{5CC8D1D8-198E-46A4-B73D-A5D0240E84E3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Finetuned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M5" i="1"/>
  <c r="L5" i="1"/>
  <c r="N4" i="1"/>
  <c r="M4" i="1"/>
  <c r="L4" i="1"/>
  <c r="N3" i="1"/>
  <c r="M3" i="1"/>
  <c r="L3" i="1"/>
  <c r="N2" i="1"/>
  <c r="M2" i="1"/>
  <c r="L2" i="1"/>
</calcChain>
</file>

<file path=xl/sharedStrings.xml><?xml version="1.0" encoding="utf-8"?>
<sst xmlns="http://schemas.openxmlformats.org/spreadsheetml/2006/main" count="72" uniqueCount="24">
  <si>
    <t>Train</t>
  </si>
  <si>
    <t>Test</t>
  </si>
  <si>
    <t>Accuracy</t>
  </si>
  <si>
    <t>F1 Score</t>
  </si>
  <si>
    <t>Model</t>
  </si>
  <si>
    <t>Embedding</t>
  </si>
  <si>
    <t>KNN</t>
  </si>
  <si>
    <t>BERT-FT</t>
  </si>
  <si>
    <t>Decision Tree</t>
  </si>
  <si>
    <t>Logistic Regression</t>
  </si>
  <si>
    <t>SVM</t>
  </si>
  <si>
    <t>XGBoost</t>
  </si>
  <si>
    <t>CatBoost</t>
  </si>
  <si>
    <t>LightGBM</t>
  </si>
  <si>
    <t>T5-FT</t>
  </si>
  <si>
    <t>XLM-FT</t>
  </si>
  <si>
    <t>UniXcoder-FT</t>
  </si>
  <si>
    <t>Mean</t>
  </si>
  <si>
    <t>Std Dev</t>
  </si>
  <si>
    <t>Var</t>
  </si>
  <si>
    <t>BERT</t>
  </si>
  <si>
    <t>T5</t>
  </si>
  <si>
    <t>XLM</t>
  </si>
  <si>
    <t>UniXcoder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</si>
</sst>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'Finetuned Results'!$L$1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'Finetuned Results'!$M$2:$M$5</c:f>
                <c:numCache>
                  <c:formatCode>General</c:formatCode>
                  <c:ptCount val="4"/>
                  <c:pt idx="0">
                    <c:v>3.0349696565742684E-2</c:v>
                  </c:pt>
                  <c:pt idx="1">
                    <c:v>3.3134032076290579E-2</c:v>
                  </c:pt>
                  <c:pt idx="2">
                    <c:v>2.8383028847017235E-2</c:v>
                  </c:pt>
                  <c:pt idx="3">
                    <c:v>3.0854437712112211E-2</c:v>
                  </c:pt>
                </c:numCache>
              </c:numRef>
            </c:plus>
            <c:minus>
              <c:numRef>
                <c:f>'Finetuned Results'!$M$2:$M$5</c:f>
                <c:numCache>
                  <c:formatCode>General</c:formatCode>
                  <c:ptCount val="4"/>
                  <c:pt idx="0">
                    <c:v>3.0349696565742684E-2</c:v>
                  </c:pt>
                  <c:pt idx="1">
                    <c:v>3.3134032076290579E-2</c:v>
                  </c:pt>
                  <c:pt idx="2">
                    <c:v>2.8383028847017235E-2</c:v>
                  </c:pt>
                  <c:pt idx="3">
                    <c:v>3.0854437712112211E-2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'Finetuned Results'!$K$2:$K$5</c:f>
              <c:strCache>
                <c:ptCount val="4"/>
                <c:pt idx="0">
                  <c:v>BERT</c:v>
                </c:pt>
                <c:pt idx="1">
                  <c:v>T5</c:v>
                </c:pt>
                <c:pt idx="2">
                  <c:v>XLM</c:v>
                </c:pt>
                <c:pt idx="3">
                  <c:v>UniXcoder</c:v>
                </c:pt>
              </c:strCache>
            </c:strRef>
          </c:cat>
          <c:val>
            <c:numRef>
              <c:f>'Finetuned Results'!$L$2:$L$5</c:f>
              <c:numCache>
                <c:formatCode>General</c:formatCode>
                <c:ptCount val="4"/>
                <c:pt idx="0">
                  <c:v>0.91118571428571449</c:v>
                </c:pt>
                <c:pt idx="1">
                  <c:v>0.91958571428571445</c:v>
                </c:pt>
                <c:pt idx="2">
                  <c:v>0.89977142857142867</c:v>
                </c:pt>
                <c:pt idx="3">
                  <c:v>0.87877142857142854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3-4E03-8705-0E657B7678B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7958639"/>
        <c:axId val="327957679"/>
      </c:barChart>
      <c:catAx>
        <c:axId val="32795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57679"/>
        <c:crosses val="autoZero"/>
        <c:auto val="1"/>
        <c:lblAlgn val="ctr"/>
        <c:lblOffset val="100"/>
        <c:noMultiLvlLbl val="0"/>
      </c:catAx>
      <c:valAx>
        <c:axId val="32795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95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175260</xdr:rowOff>
    </xdr:from>
    <xdr:to>
      <xdr:col>17</xdr:col>
      <xdr:colOff>220980</xdr:colOff>
      <xdr:row>28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BAB627-F114-A6D3-B965-8892C5184D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Q4" sqref="Q4"/>
    </sheetView>
  </sheetViews>
  <sheetFormatPr defaultRowHeight="14.4" x14ac:dyDescent="0.3"/>
  <sheetData>
    <row r="1" spans="1:14" x14ac:dyDescent="0.3">
      <c r="B1" s="1"/>
      <c r="C1" s="2" t="s">
        <v>0</v>
      </c>
      <c r="D1" s="2"/>
      <c r="E1" s="2" t="s">
        <v>1</v>
      </c>
      <c r="F1" s="2"/>
      <c r="K1" t="s">
        <v>5</v>
      </c>
      <c r="L1" t="s">
        <v>17</v>
      </c>
      <c r="M1" t="s">
        <v>18</v>
      </c>
      <c r="N1" t="s">
        <v>19</v>
      </c>
    </row>
    <row r="2" spans="1:14" x14ac:dyDescent="0.3">
      <c r="B2" s="1"/>
      <c r="C2" s="1" t="s">
        <v>2</v>
      </c>
      <c r="D2" s="1" t="s">
        <v>3</v>
      </c>
      <c r="E2" s="1" t="s">
        <v>2</v>
      </c>
      <c r="F2" s="1" t="s">
        <v>3</v>
      </c>
      <c r="K2" t="s">
        <v>20</v>
      </c>
      <c r="L2">
        <f>AVERAGE(E4:E10)</f>
        <v>0.91118571428571449</v>
      </c>
      <c r="M2">
        <f>_xlfn.STDEV.P(E4:E10)</f>
        <v>3.0349696565742684E-2</v>
      </c>
      <c r="N2">
        <f>_xlfn.VAR.P(F4:F10)</f>
        <v>9.3217387755102047E-4</v>
      </c>
    </row>
    <row r="3" spans="1:14" x14ac:dyDescent="0.3">
      <c r="A3" s="1" t="s">
        <v>4</v>
      </c>
      <c r="B3" s="1" t="s">
        <v>5</v>
      </c>
      <c r="K3" t="s">
        <v>21</v>
      </c>
      <c r="L3">
        <f>AVERAGE(E11:E17)</f>
        <v>0.91958571428571445</v>
      </c>
      <c r="M3">
        <f>_xlfn.STDEV.P(E11:E17)</f>
        <v>3.3134032076290579E-2</v>
      </c>
      <c r="N3">
        <f>_xlfn.VAR.P(F11:F17)</f>
        <v>1.0961510204081635E-3</v>
      </c>
    </row>
    <row r="4" spans="1:14" x14ac:dyDescent="0.3">
      <c r="A4" s="1" t="s">
        <v>6</v>
      </c>
      <c r="B4" s="1" t="s">
        <v>7</v>
      </c>
      <c r="C4">
        <v>0.93679999999999997</v>
      </c>
      <c r="D4">
        <v>0.93669999999999998</v>
      </c>
      <c r="E4">
        <v>0.93700000000000006</v>
      </c>
      <c r="F4">
        <v>0.93689999999999996</v>
      </c>
      <c r="K4" t="s">
        <v>22</v>
      </c>
      <c r="L4">
        <f>AVERAGE(E18:E24)</f>
        <v>0.89977142857142867</v>
      </c>
      <c r="M4">
        <f>_xlfn.STDEV.P(E18:E24)</f>
        <v>2.8383028847017235E-2</v>
      </c>
      <c r="N4">
        <f>_xlfn.VAR.P(F18:F24)</f>
        <v>8.0347387755102097E-4</v>
      </c>
    </row>
    <row r="5" spans="1:14" x14ac:dyDescent="0.3">
      <c r="A5" s="1" t="s">
        <v>8</v>
      </c>
      <c r="B5" s="1" t="s">
        <v>7</v>
      </c>
      <c r="C5">
        <v>0.99160000000000004</v>
      </c>
      <c r="D5">
        <v>0.99160000000000004</v>
      </c>
      <c r="E5">
        <v>0.85289999999999999</v>
      </c>
      <c r="F5">
        <v>0.85219999999999996</v>
      </c>
      <c r="K5" t="s">
        <v>23</v>
      </c>
      <c r="L5">
        <f>AVERAGE(E25:E31)</f>
        <v>0.87877142857142854</v>
      </c>
      <c r="M5">
        <f>_xlfn.STDEV.P(E25:E31)</f>
        <v>3.0854437712112211E-2</v>
      </c>
      <c r="N5">
        <f>_xlfn.VAR.P(F25:F31)</f>
        <v>9.765767346938774E-4</v>
      </c>
    </row>
    <row r="6" spans="1:14" x14ac:dyDescent="0.3">
      <c r="A6" s="1" t="s">
        <v>9</v>
      </c>
      <c r="B6" s="1" t="s">
        <v>7</v>
      </c>
      <c r="C6">
        <v>0.96730000000000005</v>
      </c>
      <c r="D6">
        <v>0.96730000000000005</v>
      </c>
      <c r="E6">
        <v>0.93279999999999996</v>
      </c>
      <c r="F6">
        <v>0.93279999999999996</v>
      </c>
    </row>
    <row r="7" spans="1:14" x14ac:dyDescent="0.3">
      <c r="A7" s="1" t="s">
        <v>10</v>
      </c>
      <c r="B7" s="1" t="s">
        <v>7</v>
      </c>
      <c r="C7">
        <v>1</v>
      </c>
      <c r="D7">
        <v>1</v>
      </c>
      <c r="E7">
        <v>0.9496</v>
      </c>
      <c r="F7">
        <v>0.94950000000000001</v>
      </c>
    </row>
    <row r="8" spans="1:14" x14ac:dyDescent="0.3">
      <c r="A8" s="1" t="s">
        <v>11</v>
      </c>
      <c r="B8" s="1" t="s">
        <v>7</v>
      </c>
      <c r="C8">
        <v>0.96209999999999996</v>
      </c>
      <c r="D8">
        <v>0.96199999999999997</v>
      </c>
      <c r="E8">
        <v>0.89080000000000004</v>
      </c>
      <c r="F8">
        <v>0.89070000000000005</v>
      </c>
    </row>
    <row r="9" spans="1:14" x14ac:dyDescent="0.3">
      <c r="A9" s="1" t="s">
        <v>12</v>
      </c>
      <c r="B9" s="1" t="s">
        <v>7</v>
      </c>
      <c r="C9">
        <v>0.98419999999999996</v>
      </c>
      <c r="D9">
        <v>0.98419999999999996</v>
      </c>
      <c r="E9">
        <v>0.90759999999999996</v>
      </c>
      <c r="F9">
        <v>0.90739999999999998</v>
      </c>
    </row>
    <row r="10" spans="1:14" x14ac:dyDescent="0.3">
      <c r="A10" s="1" t="s">
        <v>13</v>
      </c>
      <c r="B10" s="1" t="s">
        <v>7</v>
      </c>
      <c r="C10">
        <v>1</v>
      </c>
      <c r="D10">
        <v>1</v>
      </c>
      <c r="E10">
        <v>0.90759999999999996</v>
      </c>
      <c r="F10">
        <v>0.90720000000000001</v>
      </c>
    </row>
    <row r="11" spans="1:14" x14ac:dyDescent="0.3">
      <c r="A11" s="1" t="s">
        <v>6</v>
      </c>
      <c r="B11" s="1" t="s">
        <v>14</v>
      </c>
      <c r="C11">
        <v>1</v>
      </c>
      <c r="D11">
        <v>1</v>
      </c>
      <c r="E11">
        <v>0.8992</v>
      </c>
      <c r="F11">
        <v>0.8992</v>
      </c>
    </row>
    <row r="12" spans="1:14" x14ac:dyDescent="0.3">
      <c r="A12" s="1" t="s">
        <v>8</v>
      </c>
      <c r="B12" s="1" t="s">
        <v>14</v>
      </c>
      <c r="C12">
        <v>1</v>
      </c>
      <c r="D12">
        <v>1</v>
      </c>
      <c r="E12">
        <v>0.84870000000000001</v>
      </c>
      <c r="F12">
        <v>0.84870000000000001</v>
      </c>
    </row>
    <row r="13" spans="1:14" x14ac:dyDescent="0.3">
      <c r="A13" s="1" t="s">
        <v>9</v>
      </c>
      <c r="B13" s="1" t="s">
        <v>14</v>
      </c>
      <c r="C13">
        <v>0.99160000000000004</v>
      </c>
      <c r="D13">
        <v>0.99160000000000004</v>
      </c>
      <c r="E13">
        <v>0.94540000000000002</v>
      </c>
      <c r="F13">
        <v>0.94530000000000003</v>
      </c>
    </row>
    <row r="14" spans="1:14" x14ac:dyDescent="0.3">
      <c r="A14" s="1" t="s">
        <v>10</v>
      </c>
      <c r="B14" s="1" t="s">
        <v>14</v>
      </c>
      <c r="C14">
        <v>1</v>
      </c>
      <c r="D14">
        <v>1</v>
      </c>
      <c r="E14">
        <v>0.95379999999999998</v>
      </c>
      <c r="F14">
        <v>0.95369999999999999</v>
      </c>
    </row>
    <row r="15" spans="1:14" x14ac:dyDescent="0.3">
      <c r="A15" s="1" t="s">
        <v>11</v>
      </c>
      <c r="B15" s="1" t="s">
        <v>14</v>
      </c>
      <c r="C15">
        <v>0.99050000000000005</v>
      </c>
      <c r="D15">
        <v>0.99050000000000005</v>
      </c>
      <c r="E15">
        <v>0.92859999999999998</v>
      </c>
      <c r="F15">
        <v>0.92859999999999998</v>
      </c>
    </row>
    <row r="16" spans="1:14" x14ac:dyDescent="0.3">
      <c r="A16" s="1" t="s">
        <v>12</v>
      </c>
      <c r="B16" s="1" t="s">
        <v>14</v>
      </c>
      <c r="C16">
        <v>1</v>
      </c>
      <c r="D16">
        <v>1</v>
      </c>
      <c r="E16">
        <v>0.9244</v>
      </c>
      <c r="F16">
        <v>0.9244</v>
      </c>
    </row>
    <row r="17" spans="1:6" x14ac:dyDescent="0.3">
      <c r="A17" s="1" t="s">
        <v>13</v>
      </c>
      <c r="B17" s="1" t="s">
        <v>14</v>
      </c>
      <c r="C17">
        <v>1</v>
      </c>
      <c r="D17">
        <v>1</v>
      </c>
      <c r="E17">
        <v>0.93700000000000006</v>
      </c>
      <c r="F17">
        <v>0.93700000000000006</v>
      </c>
    </row>
    <row r="18" spans="1:6" x14ac:dyDescent="0.3">
      <c r="A18" s="1" t="s">
        <v>6</v>
      </c>
      <c r="B18" s="1" t="s">
        <v>15</v>
      </c>
      <c r="C18">
        <v>1</v>
      </c>
      <c r="D18">
        <v>1</v>
      </c>
      <c r="E18">
        <v>0.87390000000000001</v>
      </c>
      <c r="F18">
        <v>0.87390000000000001</v>
      </c>
    </row>
    <row r="19" spans="1:6" x14ac:dyDescent="0.3">
      <c r="A19" s="1" t="s">
        <v>8</v>
      </c>
      <c r="B19" s="1" t="s">
        <v>15</v>
      </c>
      <c r="C19">
        <v>0.98209999999999997</v>
      </c>
      <c r="D19">
        <v>0.98209999999999997</v>
      </c>
      <c r="E19">
        <v>0.85289999999999999</v>
      </c>
      <c r="F19">
        <v>0.8528</v>
      </c>
    </row>
    <row r="20" spans="1:6" x14ac:dyDescent="0.3">
      <c r="A20" s="1" t="s">
        <v>9</v>
      </c>
      <c r="B20" s="1" t="s">
        <v>15</v>
      </c>
      <c r="C20">
        <v>1</v>
      </c>
      <c r="D20">
        <v>1</v>
      </c>
      <c r="E20">
        <v>0.94540000000000002</v>
      </c>
      <c r="F20">
        <v>0.94530000000000003</v>
      </c>
    </row>
    <row r="21" spans="1:6" x14ac:dyDescent="0.3">
      <c r="A21" s="1" t="s">
        <v>10</v>
      </c>
      <c r="B21" s="1" t="s">
        <v>15</v>
      </c>
      <c r="C21">
        <v>1</v>
      </c>
      <c r="D21">
        <v>1</v>
      </c>
      <c r="E21">
        <v>0.9244</v>
      </c>
      <c r="F21">
        <v>0.92410000000000003</v>
      </c>
    </row>
    <row r="22" spans="1:6" x14ac:dyDescent="0.3">
      <c r="A22" s="1" t="s">
        <v>11</v>
      </c>
      <c r="B22" s="1" t="s">
        <v>15</v>
      </c>
      <c r="C22">
        <v>1</v>
      </c>
      <c r="D22">
        <v>1</v>
      </c>
      <c r="E22">
        <v>0.89500000000000002</v>
      </c>
      <c r="F22">
        <v>0.89490000000000003</v>
      </c>
    </row>
    <row r="23" spans="1:6" x14ac:dyDescent="0.3">
      <c r="A23" s="1" t="s">
        <v>12</v>
      </c>
      <c r="B23" s="1" t="s">
        <v>15</v>
      </c>
      <c r="C23">
        <v>1</v>
      </c>
      <c r="D23">
        <v>1</v>
      </c>
      <c r="E23">
        <v>0.90759999999999996</v>
      </c>
      <c r="F23">
        <v>0.90749999999999997</v>
      </c>
    </row>
    <row r="24" spans="1:6" x14ac:dyDescent="0.3">
      <c r="A24" s="1" t="s">
        <v>13</v>
      </c>
      <c r="B24" s="1" t="s">
        <v>15</v>
      </c>
      <c r="C24">
        <v>1</v>
      </c>
      <c r="D24">
        <v>1</v>
      </c>
      <c r="E24">
        <v>0.8992</v>
      </c>
      <c r="F24">
        <v>0.89900000000000002</v>
      </c>
    </row>
    <row r="25" spans="1:6" x14ac:dyDescent="0.3">
      <c r="A25" s="1" t="s">
        <v>6</v>
      </c>
      <c r="B25" s="1" t="s">
        <v>16</v>
      </c>
      <c r="C25">
        <v>1</v>
      </c>
      <c r="D25">
        <v>1</v>
      </c>
      <c r="E25">
        <v>0.8992</v>
      </c>
      <c r="F25">
        <v>0.89890000000000003</v>
      </c>
    </row>
    <row r="26" spans="1:6" x14ac:dyDescent="0.3">
      <c r="A26" s="1" t="s">
        <v>8</v>
      </c>
      <c r="B26" s="1" t="s">
        <v>16</v>
      </c>
      <c r="C26">
        <v>0.96630000000000005</v>
      </c>
      <c r="D26">
        <v>0.96619999999999995</v>
      </c>
      <c r="E26">
        <v>0.81089999999999995</v>
      </c>
      <c r="F26">
        <v>0.80940000000000001</v>
      </c>
    </row>
    <row r="27" spans="1:6" x14ac:dyDescent="0.3">
      <c r="A27" s="1" t="s">
        <v>9</v>
      </c>
      <c r="B27" s="1" t="s">
        <v>16</v>
      </c>
      <c r="C27">
        <v>0.97470000000000001</v>
      </c>
      <c r="D27">
        <v>0.97470000000000001</v>
      </c>
      <c r="E27">
        <v>0.90339999999999998</v>
      </c>
      <c r="F27">
        <v>0.90310000000000001</v>
      </c>
    </row>
    <row r="28" spans="1:6" x14ac:dyDescent="0.3">
      <c r="A28" s="1" t="s">
        <v>10</v>
      </c>
      <c r="B28" s="1" t="s">
        <v>16</v>
      </c>
      <c r="C28">
        <v>1</v>
      </c>
      <c r="D28">
        <v>1</v>
      </c>
      <c r="E28">
        <v>0.88239999999999996</v>
      </c>
      <c r="F28">
        <v>0.8821</v>
      </c>
    </row>
    <row r="29" spans="1:6" x14ac:dyDescent="0.3">
      <c r="A29" s="1" t="s">
        <v>11</v>
      </c>
      <c r="B29" s="1" t="s">
        <v>16</v>
      </c>
      <c r="C29">
        <v>1</v>
      </c>
      <c r="D29">
        <v>1</v>
      </c>
      <c r="E29">
        <v>0.88239999999999996</v>
      </c>
      <c r="F29">
        <v>0.8821</v>
      </c>
    </row>
    <row r="30" spans="1:6" x14ac:dyDescent="0.3">
      <c r="A30" s="1" t="s">
        <v>12</v>
      </c>
      <c r="B30" s="1" t="s">
        <v>16</v>
      </c>
      <c r="C30">
        <v>1</v>
      </c>
      <c r="D30">
        <v>1</v>
      </c>
      <c r="E30">
        <v>0.90759999999999996</v>
      </c>
      <c r="F30">
        <v>0.9073</v>
      </c>
    </row>
    <row r="31" spans="1:6" x14ac:dyDescent="0.3">
      <c r="A31" s="1" t="s">
        <v>13</v>
      </c>
      <c r="B31" s="1" t="s">
        <v>16</v>
      </c>
      <c r="C31">
        <v>0.99580000000000002</v>
      </c>
      <c r="D31">
        <v>0.99580000000000002</v>
      </c>
      <c r="E31">
        <v>0.86550000000000005</v>
      </c>
      <c r="F31">
        <v>0.8649</v>
      </c>
    </row>
  </sheetData>
  <mergeCells count="2">
    <mergeCell ref="C1:D1"/>
    <mergeCell ref="E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Finetuned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Navnita Krishnan</cp:lastModifiedBy>
  <dcterms:created xsi:type="dcterms:W3CDTF">2026-04-26T13:12:23Z</dcterms:created>
  <dcterms:modified xsi:type="dcterms:W3CDTF">2026-05-10T16:57:51Z</dcterms:modified>
</cp:coreProperties>
</file>